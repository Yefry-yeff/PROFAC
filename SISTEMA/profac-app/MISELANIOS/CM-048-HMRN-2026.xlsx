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mpras\Desktop\COMPRAS FUENTE 12 2026\ORDEN DE COMPRA\"/>
    </mc:Choice>
  </mc:AlternateContent>
  <xr:revisionPtr revIDLastSave="0" documentId="8_{D85D771E-6421-7248-B2AF-BD6667F2CECE}" xr6:coauthVersionLast="47" xr6:coauthVersionMax="47" xr10:uidLastSave="{00000000-0000-0000-0000-000000000000}"/>
  <bookViews>
    <workbookView xWindow="0" yWindow="0" windowWidth="24000" windowHeight="9225" xr2:uid="{00000000-000D-0000-FFFF-FFFF00000000}"/>
  </bookViews>
  <sheets>
    <sheet name="flores 044" sheetId="2" r:id="rId1"/>
    <sheet name="Hoja1" sheetId="1" r:id="rId2"/>
  </sheets>
  <definedNames>
    <definedName name="_xlnm.Print_Area" localSheetId="0">'flores 044'!$A$1:$H$61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F21" i="2"/>
  <c r="F22" i="2"/>
  <c r="F23" i="2"/>
  <c r="F24" i="2"/>
  <c r="F25" i="2"/>
  <c r="F26" i="2"/>
  <c r="F27" i="2"/>
  <c r="F28" i="2"/>
  <c r="F29" i="2"/>
  <c r="F30" i="2"/>
  <c r="F31" i="2"/>
  <c r="F32" i="2"/>
  <c r="F15" i="2"/>
  <c r="F16" i="2"/>
  <c r="F17" i="2"/>
  <c r="F18" i="2"/>
  <c r="F19" i="2"/>
  <c r="F33" i="2"/>
  <c r="F34" i="2"/>
  <c r="F35" i="2"/>
  <c r="F36" i="2"/>
  <c r="F37" i="2"/>
  <c r="F38" i="2"/>
  <c r="F39" i="2"/>
  <c r="F40" i="2"/>
  <c r="F41" i="2"/>
  <c r="F42" i="2"/>
  <c r="F14" i="2"/>
  <c r="F13" i="2"/>
  <c r="G46" i="2"/>
</calcChain>
</file>

<file path=xl/sharedStrings.xml><?xml version="1.0" encoding="utf-8"?>
<sst xmlns="http://schemas.openxmlformats.org/spreadsheetml/2006/main" count="122" uniqueCount="93">
  <si>
    <t>SECRETARÍA DE ESTADO EN LOS DESPACHOS DE DEFENSA NACIONAL</t>
  </si>
  <si>
    <t>FUERZAS ARMADAS DE HONDURAS</t>
  </si>
  <si>
    <t>HOSPITAL MILITAR CENTRAL</t>
  </si>
  <si>
    <t>Señor (es)        :</t>
  </si>
  <si>
    <t xml:space="preserve">Lugar                  : </t>
  </si>
  <si>
    <t>SAN PEDRO SULA</t>
  </si>
  <si>
    <t>Fecha         :</t>
  </si>
  <si>
    <t xml:space="preserve">Suministre A  : </t>
  </si>
  <si>
    <t xml:space="preserve"> HOSPITAL MILITAR REGIONAL DEL NORTE</t>
  </si>
  <si>
    <t>Solicitamos:</t>
  </si>
  <si>
    <t>Objeto</t>
  </si>
  <si>
    <t>Unid</t>
  </si>
  <si>
    <t>Cant.</t>
  </si>
  <si>
    <t>Descripcion</t>
  </si>
  <si>
    <t>P. Unitario</t>
  </si>
  <si>
    <t>Subtotal</t>
  </si>
  <si>
    <t>Total</t>
  </si>
  <si>
    <t>…...........Ultima Linea…................</t>
  </si>
  <si>
    <t>Subtotal L.</t>
  </si>
  <si>
    <t>Impuesto L.</t>
  </si>
  <si>
    <t>Total L.</t>
  </si>
  <si>
    <r>
      <t>CLAUSULA ANTIFRAUDE Y PREVENCION DE LA CORRUPCION</t>
    </r>
    <r>
      <rPr>
        <sz val="10"/>
        <color theme="1"/>
        <rFont val="Arial"/>
        <family val="2"/>
      </rPr>
      <t>: Las partes se obligan a realizar todas las actividades asegurándose que todo el personal involucrado y sus recursos, no se encuentren relacionados o provengan , de actividades ilícitas como ser: Lavado de Activos, Practica Fraudulenta y Coercitivas, Cohecho, Extorsión o Instigación al Delito, Tráfico de Influencias; en todo caso, si durante el plazo de vigencia del contrato se encontraren dudas razonables sobre sus operaciones, el origen de sus activos y/o que alguna de ellas, llegare a resultar inmiscuidos en una investigación de cualquier índole (penal, civil o administrativa). relacionada con actividades ilícitas, la parte libre de reclamo tendrá derecho de terminar unilateralmente el contrato sin que por echo, este obligado a indemnizar ningún tipo de perjuicio a la parte que lo genero, lo anterior, se sancionará conforme a Ley de Contratación del Estado establecidas en el Capítulo X de las Sanciones, dando complimiento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al Articulo 124 de la DGP 2025.</t>
    </r>
  </si>
  <si>
    <t xml:space="preserve"> </t>
  </si>
  <si>
    <t>CORONEL DE INFANTERIA D.E.M.</t>
  </si>
  <si>
    <t>MOISES ENRIQUE ALEMAN CASCO</t>
  </si>
  <si>
    <t>DIRECTOR HOSPITAL MILITAR</t>
  </si>
  <si>
    <t>EHO-2651</t>
  </si>
  <si>
    <t xml:space="preserve">         </t>
  </si>
  <si>
    <t>ASIGNACION PRESUPUESTARIA FUENTE 12, CORRESPONDIENTE AL MES DE JUNIO AÑO 2026.</t>
  </si>
  <si>
    <t>Cantidad</t>
  </si>
  <si>
    <t>Nombre del artículo</t>
  </si>
  <si>
    <t>PERNO 5/8X3</t>
  </si>
  <si>
    <t>CLAVO DE 3 POR LBS. D</t>
  </si>
  <si>
    <t>TUERCA 3/8 ASTM A-563 GALVA</t>
  </si>
  <si>
    <t>TORNILLO 1 1/2X10 P/ESPANSOR</t>
  </si>
  <si>
    <t>ARANDELA DE 3/8"</t>
  </si>
  <si>
    <t>ARGOLLA #DORADA ABIERTA DE 1</t>
  </si>
  <si>
    <t>REMACHE 1/8 X1</t>
  </si>
  <si>
    <t>BISAGRA DORADA NATIONAL 3X3 PAR</t>
  </si>
  <si>
    <t>PASADOR DOBLE #5 PORT/CANDADO CROMADO BOXER</t>
  </si>
  <si>
    <t>ALDABA JADVER 3 1/2</t>
  </si>
  <si>
    <t>LLAVIN CERROJO SENC YALE KENT 8945 BR AN</t>
  </si>
  <si>
    <t>LLAVIN PELOTA FINAL S/LLAVE -022</t>
  </si>
  <si>
    <t>CANDADO 50MM CUELLO LARGO DORADO DOBERMAN</t>
  </si>
  <si>
    <t>LLAMADOR DECORADO ESCUDO ESPAÑOL</t>
  </si>
  <si>
    <t>GRAPA GALV 1 1/4 X 9 POR LIBRA</t>
  </si>
  <si>
    <t>CADENA GALV 3/16 VIK CARRETE</t>
  </si>
  <si>
    <t>CABLE ACERADO DE 3/8 POR PIE ROLLO</t>
  </si>
  <si>
    <t>JUEGO DE BROCAS DE 14PC PARA METAL DEWALT</t>
  </si>
  <si>
    <t>HOJA DE SEGUETA 18 DIENTE STANLEY</t>
  </si>
  <si>
    <t>DISCO C/METAL 7X0.45X7/8 DEWALT</t>
  </si>
  <si>
    <t>UND</t>
  </si>
  <si>
    <t>DISTRIBUCIONES VALENCIA</t>
  </si>
  <si>
    <t>ORDEN DE COMPRA No. CM-048-HMRN-2026.</t>
  </si>
  <si>
    <t>25/06/2026</t>
  </si>
  <si>
    <t>UTILES DE ESCRITORIO, OFICINA Y ENSEÑANZA</t>
  </si>
  <si>
    <t>PEGAMENTO EN BARRA UHU STIC 40G 64181</t>
  </si>
  <si>
    <t>LAPIZ 12PCS HB SKOLE SK-JB1044</t>
  </si>
  <si>
    <t>MAXX 250 COLOR NEGRO MARCADOR PERMANENTE PUNTA BISELADA SCHNEIDER 125001 (CAJA DE 10 UND)</t>
  </si>
  <si>
    <t>MARCADORES ACRILICOS 12PCS SKOLLER SK-ARTPL9058</t>
  </si>
  <si>
    <t>RESALTADOR JOB SURTIDO WALLET 6 PZAS SCHNEIDER 115096</t>
  </si>
  <si>
    <t>SET RESALTADOR JOB COLOR NEON 4 UND SCHNEIDER 1500</t>
  </si>
  <si>
    <t>BOLSA MANILA T/CARTA 9X12 CONCEPT</t>
  </si>
  <si>
    <t>BOLSA MANILA T/OFICIO 10X13 CONCEPT PLUS</t>
  </si>
  <si>
    <t>TAPE 3/4"X30 YDS TRANSPARENTE WS1830 WEX</t>
  </si>
  <si>
    <t>DISPENSADOR PARA TAPE NEGRO MODELO 1070 3/4X36 WEX</t>
  </si>
  <si>
    <t>MASKING TAPE BLANCO 1"X30 YDS CBM2430 COLA BLANCA</t>
  </si>
  <si>
    <t>MASKING TAPE BLANCO 2"X30 YDS CBM4830X COLA BLANCA</t>
  </si>
  <si>
    <t>LAPICERO ORGANIZADOR METALICO SKOLE SK-R074</t>
  </si>
  <si>
    <t>TABLERO DE MADERA T/CARTA TMW500 WEX</t>
  </si>
  <si>
    <t>TINTA PARA ALMOHADILLA ROLL-ON COLOR NEGRO COLA BLANCA 60ML CB-R60</t>
  </si>
  <si>
    <t>ALMOHADILLA PARA SELLO 0115 WEX</t>
  </si>
  <si>
    <t>HULE #33 COLA BLANCA 114G CB11433</t>
  </si>
  <si>
    <t>TIJERA ACERO INOXIDABLE 8.25" POINTER SS0-60-825</t>
  </si>
  <si>
    <t>TAKE 4 AZUL BOLIGRAFO 4 COLORES AZUL, ROJO, VERDE Y NEGRO SCHNEIDER 138003 (CAJA DE 10UND)</t>
  </si>
  <si>
    <t>BOLIGRAFO COLOR NEGRO ECO-PEN 12UND STR-4018</t>
  </si>
  <si>
    <t>LAPIZ CORRECTOR POINTER 9ML AS127</t>
  </si>
  <si>
    <t>FASTENER METALICO 80MM 50UN COLA BLANCA CB-FM4780</t>
  </si>
  <si>
    <t>GRAPAS METALICAS STANDAR 26/6 COLA BLANCA CB-GR266</t>
  </si>
  <si>
    <t>POST IT NOTAS 55106 3X3 COLOR NEON WEX (PAQUETE 4UND)</t>
  </si>
  <si>
    <t>SACAGRAPAS SKOLLER SK-OFRDG8108</t>
  </si>
  <si>
    <t>CLIP METALICO 50MM 100UN COLA BLANCA CB-CLM50</t>
  </si>
  <si>
    <t>CLIP METALICO 33MM 100UN COLA BLANCA CB-CLM33</t>
  </si>
  <si>
    <t>TAPE TRANSPARENTE 2"X50 YDS CB2040T COLA BLANCA</t>
  </si>
  <si>
    <t>LIBRETA UNICO LARGO 400 PAG CON FORRO SMARTNOTES SNDUCC-105</t>
  </si>
  <si>
    <t>LIBRETA UNICO CORTO 400 PAG CON FORRO SMARTNOTES SNDUCF-101</t>
  </si>
  <si>
    <t>*</t>
  </si>
  <si>
    <t>POR SUMINISTRO DE UTILES DE ESCRITORIO, OFICINA Y ENSEÑANZA PARA USO DE DIFERENTES AREAS DEL HOSPITAL MILITAR REGIONAL DEL NORTE.</t>
  </si>
  <si>
    <t xml:space="preserve">SON: CIEN MIL LEMPIRAS EXACTOS </t>
  </si>
  <si>
    <t>SET</t>
  </si>
  <si>
    <t>CAJA</t>
  </si>
  <si>
    <t>ROLLO</t>
  </si>
  <si>
    <t>PAQ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</si>
</sst>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.00\ _€_-;\-* #,##0.00\ _€_-;_-* &quot;-&quot;??\ _€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Arial"/>
      <family val="2"/>
    </font>
    <font>
      <b/>
      <i/>
      <sz val="16"/>
      <color theme="1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3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0" fontId="3" fillId="0" borderId="0"/>
    <xf numFmtId="0" fontId="11" fillId="0" borderId="0"/>
    <xf numFmtId="0" fontId="1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/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0" xfId="1" applyFont="1" applyAlignment="1">
      <alignment horizontal="center"/>
    </xf>
    <xf numFmtId="49" fontId="10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7" fillId="2" borderId="1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9" fillId="0" borderId="0" xfId="1" applyFont="1" applyAlignment="1">
      <alignment horizontal="center" vertical="center"/>
    </xf>
    <xf numFmtId="9" fontId="12" fillId="0" borderId="0" xfId="2" applyNumberFormat="1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0" xfId="3" applyFont="1" applyAlignment="1">
      <alignment horizontal="left" vertical="center"/>
    </xf>
    <xf numFmtId="164" fontId="12" fillId="0" borderId="0" xfId="4" applyNumberFormat="1" applyFont="1" applyAlignment="1">
      <alignment horizontal="center"/>
    </xf>
    <xf numFmtId="4" fontId="9" fillId="0" borderId="0" xfId="1" applyNumberFormat="1" applyFont="1"/>
    <xf numFmtId="165" fontId="9" fillId="0" borderId="0" xfId="5" applyFont="1" applyBorder="1" applyAlignment="1">
      <alignment horizontal="right"/>
    </xf>
    <xf numFmtId="9" fontId="13" fillId="0" borderId="0" xfId="2" applyNumberFormat="1" applyFont="1" applyAlignment="1">
      <alignment horizontal="center" vertical="center"/>
    </xf>
    <xf numFmtId="164" fontId="13" fillId="0" borderId="0" xfId="4" applyNumberFormat="1" applyFont="1" applyAlignment="1">
      <alignment horizontal="center" vertical="center"/>
    </xf>
    <xf numFmtId="4" fontId="8" fillId="0" borderId="0" xfId="1" applyNumberFormat="1" applyFont="1" applyAlignment="1">
      <alignment vertical="center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wrapText="1"/>
    </xf>
    <xf numFmtId="0" fontId="8" fillId="0" borderId="0" xfId="1" applyFont="1" applyAlignment="1">
      <alignment horizontal="center" vertical="center"/>
    </xf>
    <xf numFmtId="165" fontId="8" fillId="0" borderId="0" xfId="5" applyFont="1" applyBorder="1" applyAlignment="1">
      <alignment horizontal="right"/>
    </xf>
    <xf numFmtId="0" fontId="9" fillId="0" borderId="0" xfId="1" applyFont="1" applyAlignment="1">
      <alignment vertical="center"/>
    </xf>
    <xf numFmtId="0" fontId="7" fillId="0" borderId="0" xfId="1" applyFont="1" applyAlignment="1">
      <alignment wrapText="1"/>
    </xf>
    <xf numFmtId="0" fontId="9" fillId="0" borderId="0" xfId="1" applyFont="1"/>
    <xf numFmtId="0" fontId="7" fillId="0" borderId="0" xfId="1" applyFont="1" applyAlignment="1">
      <alignment horizontal="center"/>
    </xf>
    <xf numFmtId="0" fontId="9" fillId="0" borderId="0" xfId="1" applyFont="1" applyAlignment="1">
      <alignment horizontal="right"/>
    </xf>
    <xf numFmtId="0" fontId="16" fillId="0" borderId="0" xfId="1" applyFont="1"/>
    <xf numFmtId="0" fontId="7" fillId="0" borderId="0" xfId="1" applyFont="1"/>
    <xf numFmtId="0" fontId="9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165" fontId="18" fillId="0" borderId="0" xfId="5" applyFont="1" applyBorder="1" applyAlignment="1">
      <alignment horizontal="right"/>
    </xf>
    <xf numFmtId="0" fontId="3" fillId="0" borderId="0" xfId="1" applyAlignment="1">
      <alignment horizontal="center"/>
    </xf>
    <xf numFmtId="43" fontId="9" fillId="0" borderId="0" xfId="4" applyFont="1" applyBorder="1" applyAlignment="1">
      <alignment horizontal="center" vertical="center"/>
    </xf>
    <xf numFmtId="43" fontId="9" fillId="0" borderId="0" xfId="4" applyFont="1" applyAlignment="1">
      <alignment horizont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3" fillId="0" borderId="0" xfId="1" applyAlignment="1">
      <alignment horizontal="left"/>
    </xf>
    <xf numFmtId="0" fontId="2" fillId="0" borderId="0" xfId="1" applyFont="1" applyAlignment="1">
      <alignment horizontal="left"/>
    </xf>
    <xf numFmtId="0" fontId="17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/>
    </xf>
    <xf numFmtId="0" fontId="7" fillId="0" borderId="0" xfId="3" applyFont="1" applyAlignment="1">
      <alignment horizontal="center" vertical="center" wrapText="1"/>
    </xf>
    <xf numFmtId="0" fontId="10" fillId="0" borderId="0" xfId="1" applyFont="1" applyAlignment="1">
      <alignment horizontal="left" vertical="center" wrapText="1"/>
    </xf>
    <xf numFmtId="0" fontId="10" fillId="0" borderId="0" xfId="1" applyFont="1" applyAlignment="1">
      <alignment horizontal="left" wrapText="1"/>
    </xf>
    <xf numFmtId="0" fontId="14" fillId="0" borderId="0" xfId="1" applyFont="1" applyAlignment="1">
      <alignment horizontal="justify" vertical="center"/>
    </xf>
  </cellXfs>
  <cellStyles count="6">
    <cellStyle name="Millares 2" xfId="4" xr:uid="{00000000-0005-0000-0000-000000000000}"/>
    <cellStyle name="Millares 2 2" xfId="5" xr:uid="{00000000-0005-0000-0000-000001000000}"/>
    <cellStyle name="Normal" xfId="0" builtinId="0"/>
    <cellStyle name="Normal 2" xfId="1" xr:uid="{00000000-0005-0000-0000-000003000000}"/>
    <cellStyle name="Normal 2 2" xfId="2" xr:uid="{00000000-0005-0000-0000-000004000000}"/>
    <cellStyle name="Normal_Hoja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49</xdr:row>
      <xdr:rowOff>171450</xdr:rowOff>
    </xdr:from>
    <xdr:to>
      <xdr:col>2</xdr:col>
      <xdr:colOff>295276</xdr:colOff>
      <xdr:row>52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BDD84AA-6F7D-4425-AA58-1DA9871FA59C}"/>
            </a:ext>
          </a:extLst>
        </xdr:cNvPr>
        <xdr:cNvSpPr txBox="1"/>
      </xdr:nvSpPr>
      <xdr:spPr>
        <a:xfrm>
          <a:off x="114300" y="12144375"/>
          <a:ext cx="1514476" cy="485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HN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ANALISTA PACC</a:t>
          </a:r>
          <a:endParaRPr lang="es-H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HN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OSCAR AMADOR</a:t>
          </a:r>
          <a:endParaRPr lang="es-H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HN" sz="1100"/>
        </a:p>
      </xdr:txBody>
    </xdr:sp>
    <xdr:clientData/>
  </xdr:twoCellAnchor>
  <xdr:twoCellAnchor>
    <xdr:from>
      <xdr:col>2</xdr:col>
      <xdr:colOff>342900</xdr:colOff>
      <xdr:row>50</xdr:row>
      <xdr:rowOff>0</xdr:rowOff>
    </xdr:from>
    <xdr:to>
      <xdr:col>3</xdr:col>
      <xdr:colOff>1571624</xdr:colOff>
      <xdr:row>52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D7BCEAF-41D7-47F7-BBA5-49F9A4C0BBBF}"/>
            </a:ext>
          </a:extLst>
        </xdr:cNvPr>
        <xdr:cNvSpPr txBox="1"/>
      </xdr:nvSpPr>
      <xdr:spPr>
        <a:xfrm>
          <a:off x="1676400" y="12153900"/>
          <a:ext cx="1962149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HN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REVISO </a:t>
          </a:r>
          <a:r>
            <a:rPr lang="es-HN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PRESUPUESTO</a:t>
          </a:r>
          <a:endParaRPr lang="es-H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HN" sz="1100"/>
        </a:p>
      </xdr:txBody>
    </xdr:sp>
    <xdr:clientData/>
  </xdr:twoCellAnchor>
  <xdr:twoCellAnchor>
    <xdr:from>
      <xdr:col>3</xdr:col>
      <xdr:colOff>1619251</xdr:colOff>
      <xdr:row>49</xdr:row>
      <xdr:rowOff>152399</xdr:rowOff>
    </xdr:from>
    <xdr:to>
      <xdr:col>4</xdr:col>
      <xdr:colOff>1028701</xdr:colOff>
      <xdr:row>53</xdr:row>
      <xdr:rowOff>28574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3D1625B-9128-449D-B690-24435282EC44}"/>
            </a:ext>
          </a:extLst>
        </xdr:cNvPr>
        <xdr:cNvSpPr txBox="1"/>
      </xdr:nvSpPr>
      <xdr:spPr>
        <a:xfrm>
          <a:off x="3686176" y="12125324"/>
          <a:ext cx="2533650" cy="733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HN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JEFE DEPTO. ADMON.</a:t>
          </a:r>
          <a:endParaRPr kumimoji="0" lang="es-HN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HN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ULISES AARON ALEMAN WATTERS</a:t>
          </a:r>
          <a:endParaRPr kumimoji="0" lang="es-HN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s-HN" sz="1100"/>
        </a:p>
      </xdr:txBody>
    </xdr:sp>
    <xdr:clientData/>
  </xdr:twoCellAnchor>
  <xdr:twoCellAnchor>
    <xdr:from>
      <xdr:col>4</xdr:col>
      <xdr:colOff>1000125</xdr:colOff>
      <xdr:row>50</xdr:row>
      <xdr:rowOff>9525</xdr:rowOff>
    </xdr:from>
    <xdr:to>
      <xdr:col>7</xdr:col>
      <xdr:colOff>38100</xdr:colOff>
      <xdr:row>52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A77B6B6-359A-48F9-BEE8-1C4E9C3C9DCA}"/>
            </a:ext>
          </a:extLst>
        </xdr:cNvPr>
        <xdr:cNvSpPr txBox="1"/>
      </xdr:nvSpPr>
      <xdr:spPr>
        <a:xfrm>
          <a:off x="6191250" y="12163425"/>
          <a:ext cx="238125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HN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REVISO CONTROL INTE</a:t>
          </a:r>
          <a:r>
            <a:rPr lang="es-HN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RNO</a:t>
          </a:r>
          <a:endParaRPr lang="es-HN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HN" sz="1100"/>
        </a:p>
      </xdr:txBody>
    </xdr:sp>
    <xdr:clientData/>
  </xdr:twoCellAnchor>
  <xdr:twoCellAnchor editAs="oneCell">
    <xdr:from>
      <xdr:col>6</xdr:col>
      <xdr:colOff>304800</xdr:colOff>
      <xdr:row>1</xdr:row>
      <xdr:rowOff>38099</xdr:rowOff>
    </xdr:from>
    <xdr:to>
      <xdr:col>6</xdr:col>
      <xdr:colOff>1104900</xdr:colOff>
      <xdr:row>4</xdr:row>
      <xdr:rowOff>142875</xdr:rowOff>
    </xdr:to>
    <xdr:pic>
      <xdr:nvPicPr>
        <xdr:cNvPr id="6" name="Imagen 5" descr="logo">
          <a:extLst>
            <a:ext uri="{FF2B5EF4-FFF2-40B4-BE49-F238E27FC236}">
              <a16:creationId xmlns:a16="http://schemas.microsoft.com/office/drawing/2014/main" id="{A22DD0F8-E72C-4582-9A93-116EA6087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581900" y="228599"/>
          <a:ext cx="800100" cy="88582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28575</xdr:colOff>
      <xdr:row>0</xdr:row>
      <xdr:rowOff>180975</xdr:rowOff>
    </xdr:from>
    <xdr:to>
      <xdr:col>1</xdr:col>
      <xdr:colOff>542925</xdr:colOff>
      <xdr:row>5</xdr:row>
      <xdr:rowOff>34738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E81F346-6769-4F5B-BFA0-EF614737F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180975"/>
          <a:ext cx="1057275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2"/>
  <sheetViews>
    <sheetView tabSelected="1" view="pageBreakPreview" topLeftCell="B1" zoomScale="166" zoomScaleNormal="85" zoomScaleSheetLayoutView="166" workbookViewId="0">
      <selection activeCell="C31" sqref="C31"/>
    </sheetView>
  </sheetViews>
  <sheetFormatPr defaultColWidth="11.02734375" defaultRowHeight="15" x14ac:dyDescent="0.2"/>
  <cols>
    <col min="1" max="1" width="8.203125" style="1" customWidth="1"/>
    <col min="2" max="2" width="11.8359375" style="1" customWidth="1"/>
    <col min="3" max="3" width="11.02734375" style="1" customWidth="1"/>
    <col min="4" max="4" width="58.91796875" style="1" bestFit="1" customWidth="1"/>
    <col min="5" max="5" width="19.234375" style="1" customWidth="1"/>
    <col min="6" max="6" width="14.9296875" style="1" customWidth="1"/>
    <col min="7" max="7" width="18.83203125" style="1" customWidth="1"/>
    <col min="8" max="8" width="4.3046875" style="1" customWidth="1"/>
    <col min="9" max="9" width="20.58203125" style="1" customWidth="1"/>
    <col min="10" max="16384" width="11.02734375" style="1"/>
  </cols>
  <sheetData>
    <row r="2" spans="1:7" ht="18" x14ac:dyDescent="0.2">
      <c r="A2" s="49" t="s">
        <v>0</v>
      </c>
      <c r="B2" s="49"/>
      <c r="C2" s="49"/>
      <c r="D2" s="49"/>
      <c r="E2" s="49"/>
      <c r="F2" s="49"/>
      <c r="G2" s="49"/>
    </row>
    <row r="3" spans="1:7" ht="20.25" x14ac:dyDescent="0.2">
      <c r="A3" s="50" t="s">
        <v>1</v>
      </c>
      <c r="B3" s="50"/>
      <c r="C3" s="50"/>
      <c r="D3" s="50"/>
      <c r="E3" s="50"/>
      <c r="F3" s="50"/>
      <c r="G3" s="50"/>
    </row>
    <row r="4" spans="1:7" ht="22.5" x14ac:dyDescent="0.2">
      <c r="A4" s="51" t="s">
        <v>2</v>
      </c>
      <c r="B4" s="51"/>
      <c r="C4" s="51"/>
      <c r="D4" s="51"/>
      <c r="E4" s="51"/>
      <c r="F4" s="51"/>
      <c r="G4" s="51"/>
    </row>
    <row r="5" spans="1:7" ht="16.5" customHeight="1" x14ac:dyDescent="0.2">
      <c r="A5" s="52"/>
      <c r="B5" s="52"/>
      <c r="C5" s="52"/>
      <c r="D5" s="52"/>
      <c r="E5" s="52"/>
      <c r="F5" s="52"/>
      <c r="G5" s="52"/>
    </row>
    <row r="6" spans="1:7" x14ac:dyDescent="0.2">
      <c r="A6" s="43" t="s">
        <v>53</v>
      </c>
      <c r="B6" s="43"/>
      <c r="C6" s="43"/>
      <c r="D6" s="43"/>
      <c r="E6" s="43"/>
      <c r="F6" s="43"/>
      <c r="G6" s="43"/>
    </row>
    <row r="7" spans="1:7" ht="24.75" customHeight="1" x14ac:dyDescent="0.2">
      <c r="A7" s="2" t="s">
        <v>3</v>
      </c>
      <c r="B7" s="2"/>
      <c r="C7" s="53" t="s">
        <v>52</v>
      </c>
      <c r="D7" s="53"/>
      <c r="E7" s="53"/>
      <c r="F7" s="3"/>
      <c r="G7" s="4"/>
    </row>
    <row r="8" spans="1:7" ht="19.5" customHeight="1" x14ac:dyDescent="0.2">
      <c r="A8" s="2" t="s">
        <v>4</v>
      </c>
      <c r="B8" s="2"/>
      <c r="C8" s="2" t="s">
        <v>5</v>
      </c>
      <c r="D8" s="2"/>
      <c r="E8" s="2"/>
      <c r="F8" s="3" t="s">
        <v>6</v>
      </c>
      <c r="G8" s="5" t="s">
        <v>54</v>
      </c>
    </row>
    <row r="9" spans="1:7" ht="36.75" customHeight="1" x14ac:dyDescent="0.2">
      <c r="A9" s="2" t="s">
        <v>7</v>
      </c>
      <c r="B9" s="2"/>
      <c r="C9" s="54" t="s">
        <v>8</v>
      </c>
      <c r="D9" s="54"/>
      <c r="E9" s="2"/>
      <c r="F9" s="2" t="s">
        <v>9</v>
      </c>
      <c r="G9" s="6" t="s">
        <v>55</v>
      </c>
    </row>
    <row r="10" spans="1:7" ht="14.25" customHeight="1" thickBot="1" x14ac:dyDescent="0.25">
      <c r="A10" s="3"/>
      <c r="B10" s="3"/>
      <c r="C10" s="3"/>
      <c r="D10" s="3"/>
      <c r="E10" s="3"/>
      <c r="F10" s="3"/>
      <c r="G10" s="3"/>
    </row>
    <row r="11" spans="1:7" ht="23.25" customHeight="1" thickBot="1" x14ac:dyDescent="0.25">
      <c r="A11" s="7" t="s">
        <v>10</v>
      </c>
      <c r="B11" s="8" t="s">
        <v>11</v>
      </c>
      <c r="C11" s="8" t="s">
        <v>12</v>
      </c>
      <c r="D11" s="8" t="s">
        <v>13</v>
      </c>
      <c r="E11" s="8" t="s">
        <v>14</v>
      </c>
      <c r="F11" s="8" t="s">
        <v>15</v>
      </c>
      <c r="G11" s="9" t="s">
        <v>16</v>
      </c>
    </row>
    <row r="12" spans="1:7" ht="21" customHeight="1" x14ac:dyDescent="0.2">
      <c r="A12" s="10">
        <v>39200</v>
      </c>
      <c r="B12" s="11"/>
      <c r="C12" s="12"/>
      <c r="D12" s="13" t="s">
        <v>55</v>
      </c>
      <c r="E12" s="14"/>
      <c r="F12" s="15"/>
      <c r="G12" s="16"/>
    </row>
    <row r="13" spans="1:7" x14ac:dyDescent="0.2">
      <c r="A13" s="10"/>
      <c r="B13" s="17" t="s">
        <v>51</v>
      </c>
      <c r="C13" s="42">
        <v>365</v>
      </c>
      <c r="D13" s="41" t="s">
        <v>56</v>
      </c>
      <c r="E13" s="18">
        <v>61.41</v>
      </c>
      <c r="F13" s="19">
        <f>E13*C13</f>
        <v>22414.649999999998</v>
      </c>
      <c r="G13" s="16"/>
    </row>
    <row r="14" spans="1:7" x14ac:dyDescent="0.2">
      <c r="A14" s="10"/>
      <c r="B14" s="17" t="s">
        <v>89</v>
      </c>
      <c r="C14" s="42">
        <v>30</v>
      </c>
      <c r="D14" s="41" t="s">
        <v>57</v>
      </c>
      <c r="E14" s="18">
        <v>23.7</v>
      </c>
      <c r="F14" s="19">
        <f t="shared" ref="F14:F42" si="0">E14*C14</f>
        <v>711</v>
      </c>
      <c r="G14" s="16" t="s">
        <v>86</v>
      </c>
    </row>
    <row r="15" spans="1:7" ht="42.75" x14ac:dyDescent="0.2">
      <c r="A15" s="10"/>
      <c r="B15" s="17" t="s">
        <v>90</v>
      </c>
      <c r="C15" s="42">
        <v>10</v>
      </c>
      <c r="D15" s="41" t="s">
        <v>58</v>
      </c>
      <c r="E15" s="18">
        <v>304.38</v>
      </c>
      <c r="F15" s="19">
        <f t="shared" si="0"/>
        <v>3043.8</v>
      </c>
      <c r="G15" s="16"/>
    </row>
    <row r="16" spans="1:7" ht="29.25" x14ac:dyDescent="0.2">
      <c r="A16" s="10"/>
      <c r="B16" s="17" t="s">
        <v>89</v>
      </c>
      <c r="C16" s="42">
        <v>14</v>
      </c>
      <c r="D16" s="41" t="s">
        <v>59</v>
      </c>
      <c r="E16" s="18">
        <v>53.47</v>
      </c>
      <c r="F16" s="19">
        <f t="shared" si="0"/>
        <v>748.57999999999993</v>
      </c>
      <c r="G16" s="16"/>
    </row>
    <row r="17" spans="1:7" ht="29.25" x14ac:dyDescent="0.2">
      <c r="A17" s="10"/>
      <c r="B17" s="17" t="s">
        <v>89</v>
      </c>
      <c r="C17" s="42">
        <v>20</v>
      </c>
      <c r="D17" s="41" t="s">
        <v>60</v>
      </c>
      <c r="E17" s="18">
        <v>107.42</v>
      </c>
      <c r="F17" s="19">
        <f t="shared" si="0"/>
        <v>2148.4</v>
      </c>
      <c r="G17" s="16"/>
    </row>
    <row r="18" spans="1:7" ht="29.25" x14ac:dyDescent="0.2">
      <c r="A18" s="10"/>
      <c r="B18" s="17" t="s">
        <v>89</v>
      </c>
      <c r="C18" s="42">
        <v>11</v>
      </c>
      <c r="D18" s="41" t="s">
        <v>61</v>
      </c>
      <c r="E18" s="18">
        <v>59.18</v>
      </c>
      <c r="F18" s="19">
        <f t="shared" si="0"/>
        <v>650.98</v>
      </c>
      <c r="G18" s="16"/>
    </row>
    <row r="19" spans="1:7" x14ac:dyDescent="0.2">
      <c r="A19" s="10"/>
      <c r="B19" s="17" t="s">
        <v>51</v>
      </c>
      <c r="C19" s="42">
        <v>300</v>
      </c>
      <c r="D19" s="41" t="s">
        <v>62</v>
      </c>
      <c r="E19" s="18">
        <v>2.23</v>
      </c>
      <c r="F19" s="19">
        <f t="shared" si="0"/>
        <v>669</v>
      </c>
      <c r="G19" s="16"/>
    </row>
    <row r="20" spans="1:7" x14ac:dyDescent="0.2">
      <c r="A20" s="10"/>
      <c r="B20" s="17" t="s">
        <v>51</v>
      </c>
      <c r="C20" s="42">
        <v>300</v>
      </c>
      <c r="D20" s="41" t="s">
        <v>63</v>
      </c>
      <c r="E20" s="18">
        <v>2.46</v>
      </c>
      <c r="F20" s="19">
        <f t="shared" si="0"/>
        <v>738</v>
      </c>
      <c r="G20" s="16"/>
    </row>
    <row r="21" spans="1:7" x14ac:dyDescent="0.2">
      <c r="A21" s="10"/>
      <c r="B21" s="17" t="s">
        <v>91</v>
      </c>
      <c r="C21" s="42">
        <v>204</v>
      </c>
      <c r="D21" s="41" t="s">
        <v>64</v>
      </c>
      <c r="E21" s="18">
        <v>3.16</v>
      </c>
      <c r="F21" s="19">
        <f t="shared" si="0"/>
        <v>644.64</v>
      </c>
      <c r="G21" s="16"/>
    </row>
    <row r="22" spans="1:7" ht="29.25" x14ac:dyDescent="0.2">
      <c r="A22" s="10"/>
      <c r="B22" s="17" t="s">
        <v>51</v>
      </c>
      <c r="C22" s="42">
        <v>20</v>
      </c>
      <c r="D22" s="41" t="s">
        <v>65</v>
      </c>
      <c r="E22" s="18">
        <v>47.77</v>
      </c>
      <c r="F22" s="19">
        <f t="shared" si="0"/>
        <v>955.40000000000009</v>
      </c>
      <c r="G22" s="16"/>
    </row>
    <row r="23" spans="1:7" ht="29.25" x14ac:dyDescent="0.2">
      <c r="A23" s="10"/>
      <c r="B23" s="17" t="s">
        <v>51</v>
      </c>
      <c r="C23" s="42">
        <v>141</v>
      </c>
      <c r="D23" s="41" t="s">
        <v>66</v>
      </c>
      <c r="E23" s="18">
        <v>12.57</v>
      </c>
      <c r="F23" s="19">
        <f t="shared" si="0"/>
        <v>1772.3700000000001</v>
      </c>
      <c r="G23" s="16"/>
    </row>
    <row r="24" spans="1:7" ht="29.25" x14ac:dyDescent="0.2">
      <c r="A24" s="10"/>
      <c r="B24" s="17" t="s">
        <v>51</v>
      </c>
      <c r="C24" s="42">
        <v>100</v>
      </c>
      <c r="D24" s="41" t="s">
        <v>67</v>
      </c>
      <c r="E24" s="18">
        <v>28.05</v>
      </c>
      <c r="F24" s="19">
        <f t="shared" si="0"/>
        <v>2805</v>
      </c>
      <c r="G24" s="16"/>
    </row>
    <row r="25" spans="1:7" x14ac:dyDescent="0.2">
      <c r="A25" s="10"/>
      <c r="B25" s="17" t="s">
        <v>51</v>
      </c>
      <c r="C25" s="42">
        <v>30</v>
      </c>
      <c r="D25" s="41" t="s">
        <v>68</v>
      </c>
      <c r="E25" s="18">
        <v>19.82</v>
      </c>
      <c r="F25" s="19">
        <f t="shared" si="0"/>
        <v>594.6</v>
      </c>
      <c r="G25" s="16"/>
    </row>
    <row r="26" spans="1:7" x14ac:dyDescent="0.2">
      <c r="A26" s="10"/>
      <c r="B26" s="17" t="s">
        <v>51</v>
      </c>
      <c r="C26" s="42">
        <v>10</v>
      </c>
      <c r="D26" s="41" t="s">
        <v>69</v>
      </c>
      <c r="E26" s="18">
        <v>40.33</v>
      </c>
      <c r="F26" s="19">
        <f t="shared" si="0"/>
        <v>403.29999999999995</v>
      </c>
      <c r="G26" s="16"/>
    </row>
    <row r="27" spans="1:7" ht="29.25" x14ac:dyDescent="0.2">
      <c r="A27" s="10"/>
      <c r="B27" s="17" t="s">
        <v>51</v>
      </c>
      <c r="C27" s="42">
        <v>30</v>
      </c>
      <c r="D27" s="41" t="s">
        <v>70</v>
      </c>
      <c r="E27" s="18">
        <v>21.8</v>
      </c>
      <c r="F27" s="19">
        <f t="shared" si="0"/>
        <v>654</v>
      </c>
      <c r="G27" s="16"/>
    </row>
    <row r="28" spans="1:7" x14ac:dyDescent="0.2">
      <c r="A28" s="10"/>
      <c r="B28" s="17" t="s">
        <v>51</v>
      </c>
      <c r="C28" s="42">
        <v>30</v>
      </c>
      <c r="D28" s="41" t="s">
        <v>71</v>
      </c>
      <c r="E28" s="18">
        <v>16.68</v>
      </c>
      <c r="F28" s="19">
        <f t="shared" si="0"/>
        <v>500.4</v>
      </c>
      <c r="G28" s="16"/>
    </row>
    <row r="29" spans="1:7" x14ac:dyDescent="0.2">
      <c r="A29" s="10"/>
      <c r="B29" s="17" t="s">
        <v>92</v>
      </c>
      <c r="C29" s="42">
        <v>48</v>
      </c>
      <c r="D29" s="41" t="s">
        <v>72</v>
      </c>
      <c r="E29" s="18">
        <v>17.850000000000001</v>
      </c>
      <c r="F29" s="19">
        <f t="shared" si="0"/>
        <v>856.80000000000007</v>
      </c>
      <c r="G29" s="16"/>
    </row>
    <row r="30" spans="1:7" x14ac:dyDescent="0.2">
      <c r="A30" s="10"/>
      <c r="B30" s="17" t="s">
        <v>51</v>
      </c>
      <c r="C30" s="42">
        <v>50</v>
      </c>
      <c r="D30" s="41" t="s">
        <v>73</v>
      </c>
      <c r="E30" s="18">
        <v>30.12</v>
      </c>
      <c r="F30" s="19">
        <f t="shared" si="0"/>
        <v>1506</v>
      </c>
      <c r="G30" s="16"/>
    </row>
    <row r="31" spans="1:7" ht="29.25" x14ac:dyDescent="0.2">
      <c r="A31" s="10"/>
      <c r="B31" s="17" t="s">
        <v>90</v>
      </c>
      <c r="C31" s="42">
        <v>64</v>
      </c>
      <c r="D31" s="41" t="s">
        <v>74</v>
      </c>
      <c r="E31" s="18">
        <v>294.43</v>
      </c>
      <c r="F31" s="19">
        <f t="shared" si="0"/>
        <v>18843.52</v>
      </c>
      <c r="G31" s="16" t="s">
        <v>86</v>
      </c>
    </row>
    <row r="32" spans="1:7" x14ac:dyDescent="0.2">
      <c r="A32" s="10"/>
      <c r="B32" s="17" t="s">
        <v>90</v>
      </c>
      <c r="C32" s="42">
        <v>201</v>
      </c>
      <c r="D32" s="41" t="s">
        <v>75</v>
      </c>
      <c r="E32" s="18">
        <v>20.309999999999999</v>
      </c>
      <c r="F32" s="19">
        <f t="shared" si="0"/>
        <v>4082.31</v>
      </c>
      <c r="G32" s="16" t="s">
        <v>86</v>
      </c>
    </row>
    <row r="33" spans="1:7" x14ac:dyDescent="0.2">
      <c r="A33" s="10"/>
      <c r="B33" s="17" t="s">
        <v>51</v>
      </c>
      <c r="C33" s="42">
        <v>600</v>
      </c>
      <c r="D33" s="41" t="s">
        <v>76</v>
      </c>
      <c r="E33" s="18">
        <v>11.29</v>
      </c>
      <c r="F33" s="19">
        <f t="shared" si="0"/>
        <v>6773.9999999999991</v>
      </c>
      <c r="G33" s="16"/>
    </row>
    <row r="34" spans="1:7" ht="29.25" x14ac:dyDescent="0.2">
      <c r="A34" s="10"/>
      <c r="B34" s="17" t="s">
        <v>90</v>
      </c>
      <c r="C34" s="42">
        <v>100</v>
      </c>
      <c r="D34" s="41" t="s">
        <v>77</v>
      </c>
      <c r="E34" s="18">
        <v>23.78</v>
      </c>
      <c r="F34" s="19">
        <f t="shared" si="0"/>
        <v>2378</v>
      </c>
      <c r="G34" s="16"/>
    </row>
    <row r="35" spans="1:7" ht="29.25" x14ac:dyDescent="0.2">
      <c r="A35" s="10"/>
      <c r="B35" s="17" t="s">
        <v>90</v>
      </c>
      <c r="C35" s="42">
        <v>100</v>
      </c>
      <c r="D35" s="41" t="s">
        <v>78</v>
      </c>
      <c r="E35" s="18">
        <v>13.61</v>
      </c>
      <c r="F35" s="19">
        <f t="shared" si="0"/>
        <v>1361</v>
      </c>
      <c r="G35" s="16"/>
    </row>
    <row r="36" spans="1:7" ht="29.25" x14ac:dyDescent="0.2">
      <c r="A36" s="10"/>
      <c r="B36" s="17" t="s">
        <v>92</v>
      </c>
      <c r="C36" s="42">
        <v>200</v>
      </c>
      <c r="D36" s="41" t="s">
        <v>79</v>
      </c>
      <c r="E36" s="18">
        <v>32.92</v>
      </c>
      <c r="F36" s="19">
        <f t="shared" si="0"/>
        <v>6584</v>
      </c>
      <c r="G36" s="16"/>
    </row>
    <row r="37" spans="1:7" x14ac:dyDescent="0.2">
      <c r="A37" s="10"/>
      <c r="B37" s="17" t="s">
        <v>51</v>
      </c>
      <c r="C37" s="42">
        <v>100</v>
      </c>
      <c r="D37" s="41" t="s">
        <v>80</v>
      </c>
      <c r="E37" s="18">
        <v>13.41</v>
      </c>
      <c r="F37" s="19">
        <f t="shared" si="0"/>
        <v>1341</v>
      </c>
      <c r="G37" s="16"/>
    </row>
    <row r="38" spans="1:7" x14ac:dyDescent="0.2">
      <c r="A38" s="10"/>
      <c r="B38" s="17" t="s">
        <v>90</v>
      </c>
      <c r="C38" s="42">
        <v>62</v>
      </c>
      <c r="D38" s="41" t="s">
        <v>81</v>
      </c>
      <c r="E38" s="18">
        <v>15.25</v>
      </c>
      <c r="F38" s="19">
        <f t="shared" si="0"/>
        <v>945.5</v>
      </c>
      <c r="G38" s="16"/>
    </row>
    <row r="39" spans="1:7" x14ac:dyDescent="0.2">
      <c r="A39" s="10"/>
      <c r="B39" s="17" t="s">
        <v>90</v>
      </c>
      <c r="C39" s="42">
        <v>62</v>
      </c>
      <c r="D39" s="41" t="s">
        <v>82</v>
      </c>
      <c r="E39" s="18">
        <v>7.33</v>
      </c>
      <c r="F39" s="19">
        <f t="shared" si="0"/>
        <v>454.46</v>
      </c>
      <c r="G39" s="16"/>
    </row>
    <row r="40" spans="1:7" ht="29.25" x14ac:dyDescent="0.2">
      <c r="A40" s="10"/>
      <c r="B40" s="17" t="s">
        <v>91</v>
      </c>
      <c r="C40" s="42">
        <v>180</v>
      </c>
      <c r="D40" s="41" t="s">
        <v>83</v>
      </c>
      <c r="E40" s="18">
        <v>8.86</v>
      </c>
      <c r="F40" s="19">
        <f t="shared" si="0"/>
        <v>1594.8</v>
      </c>
      <c r="G40" s="16"/>
    </row>
    <row r="41" spans="1:7" ht="29.25" x14ac:dyDescent="0.2">
      <c r="A41" s="10"/>
      <c r="B41" s="17" t="s">
        <v>51</v>
      </c>
      <c r="C41" s="42">
        <v>50</v>
      </c>
      <c r="D41" s="41" t="s">
        <v>84</v>
      </c>
      <c r="E41" s="18">
        <v>70.37</v>
      </c>
      <c r="F41" s="19">
        <f t="shared" si="0"/>
        <v>3518.5</v>
      </c>
      <c r="G41" s="16"/>
    </row>
    <row r="42" spans="1:7" ht="29.25" x14ac:dyDescent="0.2">
      <c r="A42" s="10"/>
      <c r="B42" s="17" t="s">
        <v>51</v>
      </c>
      <c r="C42" s="42">
        <v>10</v>
      </c>
      <c r="D42" s="41" t="s">
        <v>85</v>
      </c>
      <c r="E42" s="18">
        <v>39.700000000000003</v>
      </c>
      <c r="F42" s="19">
        <f t="shared" si="0"/>
        <v>397</v>
      </c>
      <c r="G42" s="16" t="s">
        <v>86</v>
      </c>
    </row>
    <row r="43" spans="1:7" ht="21" customHeight="1" x14ac:dyDescent="0.2">
      <c r="A43" s="55" t="s">
        <v>17</v>
      </c>
      <c r="B43" s="55"/>
      <c r="C43" s="55"/>
      <c r="D43" s="55"/>
      <c r="E43" s="55"/>
      <c r="F43" s="55"/>
      <c r="G43" s="55"/>
    </row>
    <row r="44" spans="1:7" ht="33" customHeight="1" x14ac:dyDescent="0.2">
      <c r="A44" s="56" t="s">
        <v>28</v>
      </c>
      <c r="B44" s="56"/>
      <c r="C44" s="56"/>
      <c r="D44" s="56"/>
      <c r="E44" s="20"/>
      <c r="F44" s="10" t="s">
        <v>18</v>
      </c>
      <c r="G44" s="35">
        <v>90091</v>
      </c>
    </row>
    <row r="45" spans="1:7" ht="31.5" customHeight="1" x14ac:dyDescent="0.2">
      <c r="A45" s="57" t="s">
        <v>87</v>
      </c>
      <c r="B45" s="57"/>
      <c r="C45" s="57"/>
      <c r="D45" s="57"/>
      <c r="E45" s="21"/>
      <c r="F45" s="22" t="s">
        <v>19</v>
      </c>
      <c r="G45" s="23">
        <v>9909</v>
      </c>
    </row>
    <row r="46" spans="1:7" ht="22.5" customHeight="1" x14ac:dyDescent="0.2">
      <c r="A46" s="24" t="s">
        <v>88</v>
      </c>
      <c r="B46" s="25"/>
      <c r="C46" s="25"/>
      <c r="D46" s="25"/>
      <c r="E46" s="26"/>
      <c r="F46" s="10" t="s">
        <v>20</v>
      </c>
      <c r="G46" s="36">
        <f>+G45+G44</f>
        <v>100000</v>
      </c>
    </row>
    <row r="47" spans="1:7" ht="100.5" customHeight="1" x14ac:dyDescent="0.2">
      <c r="A47" s="58" t="s">
        <v>21</v>
      </c>
      <c r="B47" s="58"/>
      <c r="C47" s="58"/>
      <c r="D47" s="58"/>
      <c r="E47" s="58"/>
      <c r="F47" s="58"/>
      <c r="G47" s="58"/>
    </row>
    <row r="48" spans="1:7" ht="25.5" customHeight="1" x14ac:dyDescent="0.2">
      <c r="A48" s="27"/>
      <c r="B48" s="27"/>
      <c r="C48" s="27"/>
      <c r="D48" s="27"/>
      <c r="E48" s="28"/>
      <c r="F48" s="28"/>
      <c r="G48" s="16"/>
    </row>
    <row r="49" spans="1:7" ht="25.5" customHeight="1" x14ac:dyDescent="0.2">
      <c r="A49" s="27"/>
      <c r="B49" s="27"/>
      <c r="C49" s="27"/>
      <c r="D49" s="27"/>
      <c r="E49" s="28"/>
      <c r="F49" s="28"/>
      <c r="G49" s="16"/>
    </row>
    <row r="50" spans="1:7" ht="14.25" customHeight="1" x14ac:dyDescent="0.2">
      <c r="A50" s="27"/>
      <c r="B50" s="27"/>
      <c r="C50" s="27"/>
      <c r="D50" s="27"/>
      <c r="E50" s="28"/>
      <c r="F50" s="28"/>
      <c r="G50" s="16"/>
    </row>
    <row r="51" spans="1:7" ht="14.25" customHeight="1" x14ac:dyDescent="0.2">
      <c r="A51" s="27"/>
      <c r="B51" s="27"/>
      <c r="C51" s="27"/>
      <c r="D51" s="27" t="s">
        <v>22</v>
      </c>
      <c r="E51" s="28"/>
      <c r="F51" s="28"/>
      <c r="G51" s="16"/>
    </row>
    <row r="52" spans="1:7" ht="22.5" customHeight="1" x14ac:dyDescent="0.2">
      <c r="A52" s="29"/>
      <c r="B52" s="30"/>
      <c r="C52" s="30"/>
      <c r="D52" s="29"/>
      <c r="E52" s="29"/>
      <c r="F52" s="26"/>
      <c r="G52" s="26"/>
    </row>
    <row r="53" spans="1:7" ht="16.5" customHeight="1" x14ac:dyDescent="0.2">
      <c r="A53" s="27"/>
      <c r="B53" s="27"/>
      <c r="C53" s="27"/>
      <c r="D53" s="27"/>
      <c r="E53" s="31"/>
      <c r="F53" s="31"/>
      <c r="G53" s="31"/>
    </row>
    <row r="54" spans="1:7" ht="14.25" customHeight="1" x14ac:dyDescent="0.2">
      <c r="A54" s="27"/>
      <c r="B54" s="27"/>
      <c r="C54" s="27"/>
      <c r="D54" s="27"/>
      <c r="E54" s="28"/>
      <c r="F54" s="28"/>
      <c r="G54" s="16"/>
    </row>
    <row r="55" spans="1:7" ht="18.75" customHeight="1" x14ac:dyDescent="0.2">
      <c r="A55" s="48" t="s">
        <v>23</v>
      </c>
      <c r="B55" s="48"/>
      <c r="C55" s="48"/>
      <c r="D55" s="48"/>
      <c r="E55" s="48"/>
      <c r="F55" s="48"/>
      <c r="G55" s="48"/>
    </row>
    <row r="56" spans="1:7" x14ac:dyDescent="0.2">
      <c r="A56" s="32"/>
      <c r="B56" s="4"/>
      <c r="C56" s="4"/>
      <c r="D56" s="4"/>
      <c r="E56" s="4"/>
      <c r="F56" s="4"/>
      <c r="G56" s="33"/>
    </row>
    <row r="57" spans="1:7" ht="21.75" customHeight="1" x14ac:dyDescent="0.2">
      <c r="A57" s="32"/>
      <c r="B57" s="4"/>
      <c r="C57" s="4"/>
      <c r="D57" s="4"/>
      <c r="E57" s="4"/>
      <c r="F57" s="4"/>
      <c r="G57" s="16"/>
    </row>
    <row r="58" spans="1:7" ht="18" customHeight="1" x14ac:dyDescent="0.2">
      <c r="A58" s="43" t="s">
        <v>24</v>
      </c>
      <c r="B58" s="43"/>
      <c r="C58" s="43"/>
      <c r="D58" s="43"/>
      <c r="E58" s="43"/>
      <c r="F58" s="43"/>
      <c r="G58" s="43"/>
    </row>
    <row r="59" spans="1:7" ht="17.25" customHeight="1" x14ac:dyDescent="0.2">
      <c r="A59" s="44" t="s">
        <v>25</v>
      </c>
      <c r="B59" s="44"/>
      <c r="C59" s="44"/>
      <c r="D59" s="44"/>
      <c r="E59" s="44"/>
      <c r="F59" s="44"/>
      <c r="G59" s="44"/>
    </row>
    <row r="60" spans="1:7" x14ac:dyDescent="0.2">
      <c r="A60" s="45" t="s">
        <v>26</v>
      </c>
      <c r="B60" s="45"/>
      <c r="C60" s="45"/>
      <c r="D60" s="45"/>
      <c r="E60" s="45"/>
      <c r="F60" s="45"/>
      <c r="G60" s="45"/>
    </row>
    <row r="61" spans="1:7" x14ac:dyDescent="0.2">
      <c r="A61" s="4"/>
      <c r="B61" s="4"/>
      <c r="C61" s="4"/>
      <c r="D61" s="4"/>
      <c r="E61" s="4"/>
      <c r="F61" s="4"/>
      <c r="G61" s="4"/>
    </row>
    <row r="62" spans="1:7" x14ac:dyDescent="0.2">
      <c r="B62" s="34"/>
      <c r="C62" s="34" t="s">
        <v>27</v>
      </c>
      <c r="D62" s="34"/>
    </row>
    <row r="63" spans="1:7" x14ac:dyDescent="0.2">
      <c r="A63" s="46"/>
      <c r="B63" s="46"/>
      <c r="C63" s="46"/>
    </row>
    <row r="64" spans="1:7" x14ac:dyDescent="0.2">
      <c r="A64" s="47"/>
      <c r="B64" s="47"/>
      <c r="C64" s="47"/>
    </row>
    <row r="72" spans="5:5" x14ac:dyDescent="0.2">
      <c r="E72" s="34"/>
    </row>
  </sheetData>
  <mergeCells count="17">
    <mergeCell ref="A55:G55"/>
    <mergeCell ref="A2:G2"/>
    <mergeCell ref="A3:G3"/>
    <mergeCell ref="A4:G4"/>
    <mergeCell ref="A5:G5"/>
    <mergeCell ref="A6:G6"/>
    <mergeCell ref="C7:E7"/>
    <mergeCell ref="C9:D9"/>
    <mergeCell ref="A43:G43"/>
    <mergeCell ref="A44:D44"/>
    <mergeCell ref="A45:D45"/>
    <mergeCell ref="A47:G47"/>
    <mergeCell ref="A58:G58"/>
    <mergeCell ref="A59:G59"/>
    <mergeCell ref="A60:G60"/>
    <mergeCell ref="A63:C63"/>
    <mergeCell ref="A64:C64"/>
  </mergeCells>
  <pageMargins left="0.33" right="0.27559055118110237" top="0.12" bottom="0.39370078740157483" header="0.11811023622047245" footer="0.27559055118110237"/>
  <pageSetup scale="68" orientation="portrait" r:id="rId1"/>
  <rowBreaks count="1" manualBreakCount="1">
    <brk id="6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5:E25"/>
  <sheetViews>
    <sheetView topLeftCell="A19" workbookViewId="0">
      <selection activeCell="E6" sqref="E6:E25"/>
    </sheetView>
  </sheetViews>
  <sheetFormatPr defaultColWidth="10.76171875" defaultRowHeight="15" x14ac:dyDescent="0.2"/>
  <cols>
    <col min="4" max="4" width="18.16015625" customWidth="1"/>
    <col min="5" max="5" width="24.88671875" customWidth="1"/>
  </cols>
  <sheetData>
    <row r="5" spans="4:5" x14ac:dyDescent="0.2">
      <c r="D5" s="38" t="s">
        <v>29</v>
      </c>
      <c r="E5" s="39" t="s">
        <v>30</v>
      </c>
    </row>
    <row r="6" spans="4:5" x14ac:dyDescent="0.2">
      <c r="D6" s="37">
        <v>20</v>
      </c>
      <c r="E6" s="40" t="s">
        <v>31</v>
      </c>
    </row>
    <row r="7" spans="4:5" x14ac:dyDescent="0.2">
      <c r="D7" s="37">
        <v>20</v>
      </c>
      <c r="E7" s="40" t="s">
        <v>32</v>
      </c>
    </row>
    <row r="8" spans="4:5" ht="27.75" x14ac:dyDescent="0.2">
      <c r="D8" s="37">
        <v>20</v>
      </c>
      <c r="E8" s="40" t="s">
        <v>33</v>
      </c>
    </row>
    <row r="9" spans="4:5" ht="27.75" x14ac:dyDescent="0.2">
      <c r="D9" s="37">
        <v>20</v>
      </c>
      <c r="E9" s="40" t="s">
        <v>34</v>
      </c>
    </row>
    <row r="10" spans="4:5" x14ac:dyDescent="0.2">
      <c r="D10" s="37">
        <v>25</v>
      </c>
      <c r="E10" s="40" t="s">
        <v>35</v>
      </c>
    </row>
    <row r="11" spans="4:5" ht="27.75" x14ac:dyDescent="0.2">
      <c r="D11" s="37">
        <v>30</v>
      </c>
      <c r="E11" s="40" t="s">
        <v>36</v>
      </c>
    </row>
    <row r="12" spans="4:5" x14ac:dyDescent="0.2">
      <c r="D12" s="37">
        <v>200</v>
      </c>
      <c r="E12" s="40" t="s">
        <v>37</v>
      </c>
    </row>
    <row r="13" spans="4:5" ht="27.75" x14ac:dyDescent="0.2">
      <c r="D13" s="37">
        <v>20</v>
      </c>
      <c r="E13" s="40" t="s">
        <v>38</v>
      </c>
    </row>
    <row r="14" spans="4:5" ht="27.75" x14ac:dyDescent="0.2">
      <c r="D14" s="37">
        <v>20</v>
      </c>
      <c r="E14" s="40" t="s">
        <v>39</v>
      </c>
    </row>
    <row r="15" spans="4:5" x14ac:dyDescent="0.2">
      <c r="D15" s="37">
        <v>20</v>
      </c>
      <c r="E15" s="40" t="s">
        <v>40</v>
      </c>
    </row>
    <row r="16" spans="4:5" ht="27.75" x14ac:dyDescent="0.2">
      <c r="D16" s="37">
        <v>25</v>
      </c>
      <c r="E16" s="40" t="s">
        <v>41</v>
      </c>
    </row>
    <row r="17" spans="4:5" ht="27.75" x14ac:dyDescent="0.2">
      <c r="D17" s="37">
        <v>25</v>
      </c>
      <c r="E17" s="40" t="s">
        <v>42</v>
      </c>
    </row>
    <row r="18" spans="4:5" ht="27.75" x14ac:dyDescent="0.2">
      <c r="D18" s="37">
        <v>20</v>
      </c>
      <c r="E18" s="40" t="s">
        <v>43</v>
      </c>
    </row>
    <row r="19" spans="4:5" ht="27.75" x14ac:dyDescent="0.2">
      <c r="D19" s="37">
        <v>15</v>
      </c>
      <c r="E19" s="40" t="s">
        <v>44</v>
      </c>
    </row>
    <row r="20" spans="4:5" ht="27.75" x14ac:dyDescent="0.2">
      <c r="D20" s="37">
        <v>10</v>
      </c>
      <c r="E20" s="40" t="s">
        <v>45</v>
      </c>
    </row>
    <row r="21" spans="4:5" ht="27.75" x14ac:dyDescent="0.2">
      <c r="D21" s="37">
        <v>1</v>
      </c>
      <c r="E21" s="40" t="s">
        <v>46</v>
      </c>
    </row>
    <row r="22" spans="4:5" ht="27.75" x14ac:dyDescent="0.2">
      <c r="D22" s="37">
        <v>2</v>
      </c>
      <c r="E22" s="40" t="s">
        <v>47</v>
      </c>
    </row>
    <row r="23" spans="4:5" ht="27.75" x14ac:dyDescent="0.2">
      <c r="D23" s="37">
        <v>1</v>
      </c>
      <c r="E23" s="40" t="s">
        <v>48</v>
      </c>
    </row>
    <row r="24" spans="4:5" ht="27.75" x14ac:dyDescent="0.2">
      <c r="D24" s="37">
        <v>20</v>
      </c>
      <c r="E24" s="40" t="s">
        <v>49</v>
      </c>
    </row>
    <row r="25" spans="4:5" ht="27.75" x14ac:dyDescent="0.2">
      <c r="D25" s="37">
        <v>20</v>
      </c>
      <c r="E25" s="4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flores 044</vt:lpstr>
      <vt:lpstr>Hoja1</vt:lpstr>
      <vt:lpstr>flores 044!Print_Area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cp:lastPrinted>2026-06-30T22:16:53Z</cp:lastPrinted>
  <dcterms:created xsi:type="dcterms:W3CDTF">2026-06-29T13:53:07Z</dcterms:created>
  <dcterms:modified xsi:type="dcterms:W3CDTF">2026-06-30T22:18:04Z</dcterms:modified>
</cp:coreProperties>
</file>